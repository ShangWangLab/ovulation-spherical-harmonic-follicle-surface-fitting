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afaubert_stevens_edu/Documents/Shanglab/follicular_curvature_Kohei/"/>
    </mc:Choice>
  </mc:AlternateContent>
  <xr:revisionPtr revIDLastSave="1004" documentId="13_ncr:9_{86E1C9D6-E30A-404D-8A3E-3510FA460BB7}" xr6:coauthVersionLast="47" xr6:coauthVersionMax="47" xr10:uidLastSave="{8959B40E-3D7C-480B-BE52-629A9DE96F30}"/>
  <bookViews>
    <workbookView xWindow="-23148" yWindow="972" windowWidth="23256" windowHeight="12456" activeTab="2" xr2:uid="{E27DE84C-5FD2-4830-9478-165253811CBF}"/>
  </bookViews>
  <sheets>
    <sheet name="Datasets" sheetId="1" r:id="rId1"/>
    <sheet name="Follicles" sheetId="4" r:id="rId2"/>
    <sheet name="Follicles (Use)" sheetId="5" r:id="rId3"/>
    <sheet name="Follicles (Exclude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5" l="1"/>
  <c r="Q8" i="6"/>
  <c r="Q7" i="6"/>
  <c r="Q6" i="6"/>
  <c r="Q5" i="6"/>
  <c r="Q4" i="6"/>
  <c r="Q3" i="6"/>
  <c r="Q2" i="6"/>
  <c r="Q8" i="5"/>
  <c r="Q6" i="5"/>
  <c r="Q2" i="5"/>
  <c r="Q10" i="5"/>
  <c r="Q5" i="5"/>
  <c r="Q4" i="5"/>
  <c r="Q3" i="5"/>
  <c r="Q9" i="5"/>
  <c r="Q15" i="4"/>
  <c r="Q16" i="4"/>
  <c r="Q17" i="4"/>
  <c r="Q14" i="4"/>
  <c r="Q13" i="4"/>
  <c r="Q12" i="4"/>
  <c r="Q11" i="4"/>
  <c r="Q10" i="4"/>
  <c r="Q9" i="4"/>
  <c r="Q8" i="4"/>
  <c r="Q7" i="4"/>
  <c r="Q4" i="4"/>
  <c r="Q3" i="4"/>
  <c r="Q5" i="4"/>
  <c r="Q6" i="4"/>
  <c r="Q2" i="4"/>
  <c r="M2" i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5" i="1"/>
  <c r="N5" i="1" s="1"/>
  <c r="M7" i="1"/>
  <c r="N7" i="1" s="1"/>
  <c r="M6" i="1"/>
  <c r="N6" i="1" s="1"/>
  <c r="M9" i="1"/>
  <c r="N9" i="1" s="1"/>
  <c r="M3" i="1"/>
  <c r="N3" i="1" s="1"/>
  <c r="M4" i="1"/>
  <c r="N4" i="1" s="1"/>
  <c r="M8" i="1"/>
  <c r="N8" i="1" s="1"/>
  <c r="N2" i="1"/>
</calcChain>
</file>

<file path=xl/sharedStrings.xml><?xml version="1.0" encoding="utf-8"?>
<sst xmlns="http://schemas.openxmlformats.org/spreadsheetml/2006/main" count="160" uniqueCount="80">
  <si>
    <t>nT</t>
  </si>
  <si>
    <t>nX</t>
  </si>
  <si>
    <t>nY</t>
  </si>
  <si>
    <t>nZ</t>
  </si>
  <si>
    <t>013124_Vivo_hCG12P5h_500x500_4x4_Bscan8p353.ims</t>
  </si>
  <si>
    <t>022124_Vivo_hCG12h_500x500_4x4_Bscan8p353_Ovulation!!_ShortVer.ims</t>
  </si>
  <si>
    <t>022324_Vivo_hCG12h_500x500_4x6_Bscan8p353.ims</t>
  </si>
  <si>
    <t>022824_Vivo_hCG12h_500x500_4x4_Bscan8p353_Ovulation!.ims</t>
  </si>
  <si>
    <t>030624_Vivo_hCG12h_500x500_3x3_Bscan8p353_Ovulation!.ims</t>
  </si>
  <si>
    <t>031124_Vivo_hCG12h_500x500_3x4_Bscan8p353_Ovulation!.ims</t>
  </si>
  <si>
    <t>042623_Vivo_hCG13h_500x500_3x5_Bscan8p353.ims</t>
  </si>
  <si>
    <t>042623_Vivo_hCG13p5h_500x500_3x5_Bscan8p353.ims</t>
  </si>
  <si>
    <t>050825_Vivo_hCG11h_500x300_3x3_Bscan8p353.ims</t>
  </si>
  <si>
    <t>051623_Vivo_hCG12h_500x300_4x5_Bscan8p353_ShortVer(Frame321-520).ims</t>
  </si>
  <si>
    <t>070122_Vivo_Ovary_500x500_2x1_BscanPeriod8p353_OVULATION.ims</t>
  </si>
  <si>
    <t>090523_Vivo_hCG13p5h_500x300_3x4_Bscan8p353.ims</t>
  </si>
  <si>
    <t>091223_Vivo_hCG12h_500x300_4x4_Bscan8p353.ims</t>
  </si>
  <si>
    <t>100325_Vivo_hCG11h_500x500_3x4_Bscan8p353_3.ims</t>
  </si>
  <si>
    <t>Size (GB)</t>
  </si>
  <si>
    <t>Scan Title</t>
  </si>
  <si>
    <t>Short Title</t>
  </si>
  <si>
    <t>013124_hCG12P5h</t>
  </si>
  <si>
    <t>022124_hCG12h</t>
  </si>
  <si>
    <t>022324_hCG12h</t>
  </si>
  <si>
    <t>022824_hCG12h</t>
  </si>
  <si>
    <t>030624_hCG12h</t>
  </si>
  <si>
    <t>031124_hCG12h</t>
  </si>
  <si>
    <t>042623_hCG13h</t>
  </si>
  <si>
    <t>042623_hCG13p5h</t>
  </si>
  <si>
    <t>050825_hCG11h</t>
  </si>
  <si>
    <t>051623_hCG12h</t>
  </si>
  <si>
    <t>070122_Ovary</t>
  </si>
  <si>
    <t>090523_hCG13p5h</t>
  </si>
  <si>
    <t>091223_hCG12h</t>
  </si>
  <si>
    <t>100325_hCG11h</t>
  </si>
  <si>
    <t>Date</t>
  </si>
  <si>
    <t>n Good</t>
  </si>
  <si>
    <t>Order to process</t>
  </si>
  <si>
    <t>sT (s)</t>
  </si>
  <si>
    <t>sX (um)</t>
  </si>
  <si>
    <t>sY (um)</t>
  </si>
  <si>
    <t>sZ (um)</t>
  </si>
  <si>
    <t>n Oocytes</t>
  </si>
  <si>
    <t>n Released</t>
  </si>
  <si>
    <t>Dur (m)</t>
  </si>
  <si>
    <t>Dyn low</t>
  </si>
  <si>
    <t>Dyn hi</t>
  </si>
  <si>
    <t>Use</t>
  </si>
  <si>
    <t>Z</t>
  </si>
  <si>
    <t>Y</t>
  </si>
  <si>
    <t>X</t>
  </si>
  <si>
    <t>Label</t>
  </si>
  <si>
    <t>Comment</t>
  </si>
  <si>
    <t>Diam</t>
  </si>
  <si>
    <t>Hole Z</t>
  </si>
  <si>
    <t>Hole Y</t>
  </si>
  <si>
    <t>Hole X</t>
  </si>
  <si>
    <t>Oocyte ID</t>
  </si>
  <si>
    <t>Scan ID</t>
  </si>
  <si>
    <t>Hole T</t>
  </si>
  <si>
    <t>D microns</t>
  </si>
  <si>
    <t>T Hole</t>
  </si>
  <si>
    <t>T release</t>
  </si>
  <si>
    <t>Very blurry, touches ovarian sac, but still useable</t>
  </si>
  <si>
    <t>Rapid movement, movement artifacts, exits FoV</t>
  </si>
  <si>
    <t>Misshapen, nice boundary</t>
  </si>
  <si>
    <t>Pointy on the side, opens sideways</t>
  </si>
  <si>
    <t>Very pointy, good true positive for coneness</t>
  </si>
  <si>
    <t>Good</t>
  </si>
  <si>
    <t>Partially shadowed, rapid movement, strange shape</t>
  </si>
  <si>
    <t>Good, very round</t>
  </si>
  <si>
    <t>Poor boundary, some artifact, registration issues</t>
  </si>
  <si>
    <t>Crushed against the top, oval</t>
  </si>
  <si>
    <t>Crushed against the top, triangular</t>
  </si>
  <si>
    <t>Crushed at top, sickled, severe registration issues</t>
  </si>
  <si>
    <t>Already ruptured</t>
  </si>
  <si>
    <t>Touching at top but nice</t>
  </si>
  <si>
    <t>Nice and deep, some line artifact</t>
  </si>
  <si>
    <t>Update</t>
  </si>
  <si>
    <t>Oocyte pressed against wall, fitting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</si>
</sst>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5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5BB8-32A3-4842-9D88-56994EC629C7}">
  <dimension ref="A1:U31"/>
  <sheetViews>
    <sheetView workbookViewId="0">
      <selection activeCell="I15" sqref="I15"/>
    </sheetView>
  </sheetViews>
  <sheetFormatPr defaultRowHeight="15" x14ac:dyDescent="0.25"/>
  <cols>
    <col min="1" max="1" width="6" customWidth="1"/>
    <col min="2" max="2" width="56" customWidth="1"/>
    <col min="3" max="3" width="17.5703125" customWidth="1"/>
    <col min="4" max="4" width="8.42578125" customWidth="1"/>
    <col min="5" max="5" width="10.42578125" bestFit="1" customWidth="1"/>
    <col min="6" max="6" width="4.7109375" customWidth="1"/>
    <col min="7" max="7" width="5" customWidth="1"/>
    <col min="8" max="9" width="4.7109375" customWidth="1"/>
    <col min="10" max="13" width="7.28515625" customWidth="1"/>
    <col min="14" max="16" width="7" customWidth="1"/>
    <col min="17" max="18" width="10.28515625" customWidth="1"/>
  </cols>
  <sheetData>
    <row r="1" spans="1:21" x14ac:dyDescent="0.25">
      <c r="A1" s="7" t="s">
        <v>37</v>
      </c>
      <c r="B1" t="s">
        <v>19</v>
      </c>
      <c r="C1" t="s">
        <v>20</v>
      </c>
      <c r="D1" t="s">
        <v>18</v>
      </c>
      <c r="E1" t="s">
        <v>35</v>
      </c>
      <c r="F1" s="3" t="s">
        <v>1</v>
      </c>
      <c r="G1" s="3" t="s">
        <v>2</v>
      </c>
      <c r="H1" s="3" t="s">
        <v>3</v>
      </c>
      <c r="I1" s="3" t="s">
        <v>0</v>
      </c>
      <c r="J1" s="3" t="s">
        <v>39</v>
      </c>
      <c r="K1" s="3" t="s">
        <v>40</v>
      </c>
      <c r="L1" s="3" t="s">
        <v>41</v>
      </c>
      <c r="M1" s="3" t="s">
        <v>38</v>
      </c>
      <c r="N1" s="3" t="s">
        <v>44</v>
      </c>
      <c r="O1" s="3" t="s">
        <v>45</v>
      </c>
      <c r="P1" s="3" t="s">
        <v>46</v>
      </c>
      <c r="Q1" s="3" t="s">
        <v>42</v>
      </c>
      <c r="R1" s="3" t="s">
        <v>43</v>
      </c>
      <c r="S1" s="3" t="s">
        <v>36</v>
      </c>
      <c r="T1" s="3"/>
      <c r="U1" s="3"/>
    </row>
    <row r="2" spans="1:21" x14ac:dyDescent="0.25">
      <c r="A2" s="3">
        <v>0</v>
      </c>
      <c r="B2" t="s">
        <v>15</v>
      </c>
      <c r="C2" t="s">
        <v>32</v>
      </c>
      <c r="D2" s="2">
        <v>108</v>
      </c>
      <c r="E2" s="4">
        <v>45174</v>
      </c>
      <c r="F2" s="3">
        <v>500</v>
      </c>
      <c r="G2" s="3">
        <v>649</v>
      </c>
      <c r="H2" s="3">
        <v>300</v>
      </c>
      <c r="I2" s="3">
        <v>862</v>
      </c>
      <c r="J2" s="3">
        <v>7.62</v>
      </c>
      <c r="K2" s="3">
        <v>2.4</v>
      </c>
      <c r="L2" s="3">
        <v>12.667</v>
      </c>
      <c r="M2" s="5">
        <f>8.353*H2/1000</f>
        <v>2.5059</v>
      </c>
      <c r="N2" s="6">
        <f t="shared" ref="N2:N15" si="0">M2*I2/60</f>
        <v>36.001429999999999</v>
      </c>
      <c r="O2" s="8">
        <v>30</v>
      </c>
      <c r="P2" s="8">
        <v>111</v>
      </c>
      <c r="Q2" s="3">
        <v>12</v>
      </c>
      <c r="R2" s="3">
        <v>2</v>
      </c>
      <c r="S2" s="3">
        <v>1</v>
      </c>
      <c r="T2" s="3"/>
      <c r="U2" s="3"/>
    </row>
    <row r="3" spans="1:21" x14ac:dyDescent="0.25">
      <c r="A3" s="3">
        <v>1</v>
      </c>
      <c r="B3" t="s">
        <v>10</v>
      </c>
      <c r="C3" t="s">
        <v>27</v>
      </c>
      <c r="D3" s="1">
        <v>64.099999999999994</v>
      </c>
      <c r="E3" s="4">
        <v>45042</v>
      </c>
      <c r="F3" s="3">
        <v>500</v>
      </c>
      <c r="G3" s="3">
        <v>686</v>
      </c>
      <c r="H3" s="3">
        <v>500</v>
      </c>
      <c r="I3" s="3">
        <v>180</v>
      </c>
      <c r="J3" s="3">
        <v>7.62</v>
      </c>
      <c r="K3" s="3">
        <v>2.4</v>
      </c>
      <c r="L3" s="3">
        <v>9.5</v>
      </c>
      <c r="M3" s="5">
        <f t="shared" ref="M3:M15" si="1">8.353*H3/1000</f>
        <v>4.1764999999999999</v>
      </c>
      <c r="N3" s="6">
        <f t="shared" si="0"/>
        <v>12.529500000000001</v>
      </c>
      <c r="O3" s="8">
        <v>26</v>
      </c>
      <c r="P3" s="8">
        <v>94</v>
      </c>
      <c r="Q3" s="3">
        <v>15</v>
      </c>
      <c r="R3" s="3">
        <v>1</v>
      </c>
      <c r="S3" s="3">
        <v>1</v>
      </c>
      <c r="T3" s="3"/>
      <c r="U3" s="3"/>
    </row>
    <row r="4" spans="1:21" x14ac:dyDescent="0.25">
      <c r="A4" s="3">
        <v>2</v>
      </c>
      <c r="B4" t="s">
        <v>11</v>
      </c>
      <c r="C4" t="s">
        <v>28</v>
      </c>
      <c r="D4" s="1">
        <v>29.5</v>
      </c>
      <c r="E4" s="4">
        <v>45042</v>
      </c>
      <c r="F4" s="3">
        <v>500</v>
      </c>
      <c r="G4" s="3">
        <v>641</v>
      </c>
      <c r="H4" s="3">
        <v>500</v>
      </c>
      <c r="I4" s="3">
        <v>220</v>
      </c>
      <c r="J4" s="3">
        <v>7.62</v>
      </c>
      <c r="K4" s="3">
        <v>2.4</v>
      </c>
      <c r="L4" s="3">
        <v>9.5</v>
      </c>
      <c r="M4" s="5">
        <f t="shared" si="1"/>
        <v>4.1764999999999999</v>
      </c>
      <c r="N4" s="6">
        <f t="shared" si="0"/>
        <v>15.313833333333331</v>
      </c>
      <c r="O4" s="8">
        <v>27</v>
      </c>
      <c r="P4" s="8">
        <v>97</v>
      </c>
      <c r="Q4" s="3">
        <v>16</v>
      </c>
      <c r="R4" s="3">
        <v>2</v>
      </c>
      <c r="S4" s="3">
        <v>2</v>
      </c>
      <c r="T4" s="3"/>
      <c r="U4" s="3"/>
    </row>
    <row r="5" spans="1:21" x14ac:dyDescent="0.25">
      <c r="A5" s="3">
        <v>3</v>
      </c>
      <c r="B5" t="s">
        <v>17</v>
      </c>
      <c r="C5" t="s">
        <v>34</v>
      </c>
      <c r="D5" s="1">
        <v>41.6</v>
      </c>
      <c r="E5" s="4">
        <v>45933</v>
      </c>
      <c r="F5" s="8">
        <v>482</v>
      </c>
      <c r="G5" s="8">
        <v>579</v>
      </c>
      <c r="H5" s="3">
        <v>500</v>
      </c>
      <c r="I5" s="3">
        <v>200</v>
      </c>
      <c r="J5" s="3">
        <v>7.62</v>
      </c>
      <c r="K5" s="3">
        <v>2.4</v>
      </c>
      <c r="L5" s="3">
        <v>7.6</v>
      </c>
      <c r="M5" s="5">
        <f t="shared" si="1"/>
        <v>4.1764999999999999</v>
      </c>
      <c r="N5" s="6">
        <f t="shared" si="0"/>
        <v>13.921666666666665</v>
      </c>
      <c r="O5" s="8">
        <v>33</v>
      </c>
      <c r="P5" s="8">
        <v>122</v>
      </c>
      <c r="Q5" s="3">
        <v>9</v>
      </c>
      <c r="R5" s="3">
        <v>1</v>
      </c>
      <c r="S5" s="3">
        <v>0</v>
      </c>
      <c r="T5" s="3"/>
      <c r="U5" s="3"/>
    </row>
    <row r="6" spans="1:21" x14ac:dyDescent="0.25">
      <c r="A6" s="3">
        <v>4</v>
      </c>
      <c r="B6" t="s">
        <v>12</v>
      </c>
      <c r="C6" t="s">
        <v>29</v>
      </c>
      <c r="D6" s="1">
        <v>30.9</v>
      </c>
      <c r="E6" s="4">
        <v>45785</v>
      </c>
      <c r="F6" s="3">
        <v>482</v>
      </c>
      <c r="G6" s="3">
        <v>640</v>
      </c>
      <c r="H6" s="3">
        <v>300</v>
      </c>
      <c r="I6" s="3">
        <v>400</v>
      </c>
      <c r="J6" s="3">
        <v>7.62</v>
      </c>
      <c r="K6" s="3">
        <v>2.4</v>
      </c>
      <c r="L6" s="3">
        <v>9.5</v>
      </c>
      <c r="M6" s="5">
        <f t="shared" si="1"/>
        <v>2.5059</v>
      </c>
      <c r="N6" s="6">
        <f t="shared" si="0"/>
        <v>16.706</v>
      </c>
      <c r="O6" s="8">
        <v>30</v>
      </c>
      <c r="P6" s="8">
        <v>114</v>
      </c>
      <c r="Q6" s="3">
        <v>10</v>
      </c>
      <c r="R6" s="3">
        <v>1</v>
      </c>
      <c r="S6" s="3">
        <v>0</v>
      </c>
      <c r="T6" s="3"/>
      <c r="U6" s="3"/>
    </row>
    <row r="7" spans="1:21" x14ac:dyDescent="0.25">
      <c r="A7" s="3">
        <v>5</v>
      </c>
      <c r="B7" t="s">
        <v>16</v>
      </c>
      <c r="C7" t="s">
        <v>33</v>
      </c>
      <c r="D7" s="1">
        <v>26.6</v>
      </c>
      <c r="E7" s="4">
        <v>45181</v>
      </c>
      <c r="F7" s="3">
        <v>500</v>
      </c>
      <c r="G7" s="3">
        <v>603</v>
      </c>
      <c r="H7" s="3">
        <v>300</v>
      </c>
      <c r="I7" s="3">
        <v>212</v>
      </c>
      <c r="J7" s="3">
        <v>10.16</v>
      </c>
      <c r="K7" s="3">
        <v>2.4</v>
      </c>
      <c r="L7" s="3">
        <v>12.667</v>
      </c>
      <c r="M7" s="5">
        <f t="shared" si="1"/>
        <v>2.5059</v>
      </c>
      <c r="N7" s="6">
        <f t="shared" si="0"/>
        <v>8.8541800000000013</v>
      </c>
      <c r="O7" s="3">
        <v>27</v>
      </c>
      <c r="P7" s="8">
        <v>119</v>
      </c>
      <c r="Q7" s="3"/>
      <c r="R7" s="3">
        <v>1</v>
      </c>
      <c r="S7" s="3">
        <v>1</v>
      </c>
      <c r="T7" s="3"/>
      <c r="U7" s="3"/>
    </row>
    <row r="8" spans="1:21" x14ac:dyDescent="0.25">
      <c r="A8" s="3">
        <v>6</v>
      </c>
      <c r="B8" t="s">
        <v>4</v>
      </c>
      <c r="C8" t="s">
        <v>21</v>
      </c>
      <c r="D8" s="1">
        <v>46</v>
      </c>
      <c r="E8" s="4">
        <v>45322</v>
      </c>
      <c r="F8" s="3">
        <v>480</v>
      </c>
      <c r="G8" s="3">
        <v>612</v>
      </c>
      <c r="H8" s="3">
        <v>500</v>
      </c>
      <c r="I8" s="3">
        <v>220</v>
      </c>
      <c r="J8" s="3">
        <v>10.16</v>
      </c>
      <c r="K8" s="3">
        <v>2.4</v>
      </c>
      <c r="L8" s="3">
        <v>7.6</v>
      </c>
      <c r="M8" s="5">
        <f t="shared" si="1"/>
        <v>4.1764999999999999</v>
      </c>
      <c r="N8" s="6">
        <f t="shared" si="0"/>
        <v>15.313833333333331</v>
      </c>
      <c r="O8" s="8">
        <v>34</v>
      </c>
      <c r="P8" s="8">
        <v>137</v>
      </c>
      <c r="Q8" s="3"/>
      <c r="R8" s="3">
        <v>1</v>
      </c>
      <c r="S8" s="3">
        <v>0</v>
      </c>
      <c r="T8" s="3"/>
      <c r="U8" s="3"/>
    </row>
    <row r="9" spans="1:21" x14ac:dyDescent="0.25">
      <c r="A9" s="3">
        <v>7</v>
      </c>
      <c r="B9" t="s">
        <v>5</v>
      </c>
      <c r="C9" t="s">
        <v>22</v>
      </c>
      <c r="D9" s="1">
        <v>92.8</v>
      </c>
      <c r="E9" s="4">
        <v>45343</v>
      </c>
      <c r="F9" s="3">
        <v>378</v>
      </c>
      <c r="G9" s="3">
        <v>626</v>
      </c>
      <c r="H9" s="3">
        <v>488</v>
      </c>
      <c r="I9" s="3">
        <v>100</v>
      </c>
      <c r="J9" s="3">
        <v>10.16</v>
      </c>
      <c r="K9" s="3">
        <v>2.4</v>
      </c>
      <c r="L9" s="3">
        <v>7.6</v>
      </c>
      <c r="M9" s="5">
        <f t="shared" si="1"/>
        <v>4.0762640000000001</v>
      </c>
      <c r="N9" s="6">
        <f t="shared" si="0"/>
        <v>6.7937733333333332</v>
      </c>
      <c r="O9" s="8">
        <v>34</v>
      </c>
      <c r="P9" s="8">
        <v>128</v>
      </c>
      <c r="Q9" s="3">
        <v>13</v>
      </c>
      <c r="R9" s="3">
        <v>1</v>
      </c>
      <c r="S9" s="3">
        <v>0</v>
      </c>
      <c r="T9" s="3"/>
      <c r="U9" s="3"/>
    </row>
    <row r="10" spans="1:21" x14ac:dyDescent="0.25">
      <c r="A10" s="3">
        <v>8</v>
      </c>
      <c r="B10" t="s">
        <v>6</v>
      </c>
      <c r="C10" t="s">
        <v>23</v>
      </c>
      <c r="D10" s="1">
        <v>83.7</v>
      </c>
      <c r="E10" s="4">
        <v>45345</v>
      </c>
      <c r="F10" s="3">
        <v>484</v>
      </c>
      <c r="G10" s="3">
        <v>666</v>
      </c>
      <c r="H10" s="3">
        <v>500</v>
      </c>
      <c r="I10" s="3">
        <v>400</v>
      </c>
      <c r="J10" s="3">
        <v>10.16</v>
      </c>
      <c r="K10" s="3">
        <v>2.4</v>
      </c>
      <c r="L10" s="3">
        <v>11.4</v>
      </c>
      <c r="M10" s="5">
        <f t="shared" si="1"/>
        <v>4.1764999999999999</v>
      </c>
      <c r="N10" s="6">
        <f t="shared" si="0"/>
        <v>27.84333333333333</v>
      </c>
      <c r="O10" s="8">
        <v>31</v>
      </c>
      <c r="P10" s="8">
        <v>131</v>
      </c>
      <c r="Q10" s="3">
        <v>12</v>
      </c>
      <c r="R10" s="3">
        <v>1</v>
      </c>
      <c r="S10" s="3">
        <v>0</v>
      </c>
      <c r="T10" s="3"/>
      <c r="U10" s="3"/>
    </row>
    <row r="11" spans="1:21" x14ac:dyDescent="0.25">
      <c r="A11" s="3">
        <v>9</v>
      </c>
      <c r="B11" t="s">
        <v>7</v>
      </c>
      <c r="C11" t="s">
        <v>24</v>
      </c>
      <c r="D11" s="1">
        <v>46.1</v>
      </c>
      <c r="E11" s="4">
        <v>45350</v>
      </c>
      <c r="F11" s="3">
        <v>478</v>
      </c>
      <c r="G11" s="3">
        <v>612</v>
      </c>
      <c r="H11" s="3">
        <v>500</v>
      </c>
      <c r="I11" s="3">
        <v>220</v>
      </c>
      <c r="J11" s="3">
        <v>10.16</v>
      </c>
      <c r="K11" s="3">
        <v>2.4</v>
      </c>
      <c r="L11" s="3">
        <v>7.6</v>
      </c>
      <c r="M11" s="5">
        <f t="shared" si="1"/>
        <v>4.1764999999999999</v>
      </c>
      <c r="N11" s="6">
        <f t="shared" si="0"/>
        <v>15.313833333333331</v>
      </c>
      <c r="O11" s="8">
        <v>33</v>
      </c>
      <c r="P11" s="8">
        <v>136</v>
      </c>
      <c r="Q11" s="3">
        <v>5</v>
      </c>
      <c r="R11" s="3">
        <v>1</v>
      </c>
      <c r="S11" s="3">
        <v>0</v>
      </c>
      <c r="T11" s="3"/>
      <c r="U11" s="3"/>
    </row>
    <row r="12" spans="1:21" x14ac:dyDescent="0.25">
      <c r="A12" s="3">
        <v>10</v>
      </c>
      <c r="B12" t="s">
        <v>8</v>
      </c>
      <c r="C12" t="s">
        <v>25</v>
      </c>
      <c r="D12" s="1">
        <v>25.3</v>
      </c>
      <c r="E12" s="4">
        <v>45357</v>
      </c>
      <c r="F12" s="3">
        <v>450</v>
      </c>
      <c r="G12" s="3">
        <v>663</v>
      </c>
      <c r="H12" s="3">
        <v>402</v>
      </c>
      <c r="I12" s="3">
        <v>100</v>
      </c>
      <c r="J12" s="3">
        <v>7.62</v>
      </c>
      <c r="K12" s="3">
        <v>2.4</v>
      </c>
      <c r="L12" s="3">
        <v>5.7</v>
      </c>
      <c r="M12" s="5">
        <f t="shared" si="1"/>
        <v>3.3579059999999998</v>
      </c>
      <c r="N12" s="6">
        <f t="shared" si="0"/>
        <v>5.5965099999999994</v>
      </c>
      <c r="O12" s="8">
        <v>30</v>
      </c>
      <c r="P12" s="8">
        <v>123</v>
      </c>
      <c r="Q12" s="3">
        <v>8</v>
      </c>
      <c r="R12" s="3">
        <v>1</v>
      </c>
      <c r="S12" s="3">
        <v>0</v>
      </c>
      <c r="T12" s="3"/>
      <c r="U12" s="3"/>
    </row>
    <row r="13" spans="1:21" x14ac:dyDescent="0.25">
      <c r="A13" s="3">
        <v>11</v>
      </c>
      <c r="B13" t="s">
        <v>9</v>
      </c>
      <c r="C13" t="s">
        <v>26</v>
      </c>
      <c r="D13" s="1">
        <v>57.1</v>
      </c>
      <c r="E13" s="4">
        <v>45362</v>
      </c>
      <c r="F13" s="3">
        <v>488</v>
      </c>
      <c r="G13" s="3">
        <v>664</v>
      </c>
      <c r="H13" s="3">
        <v>500</v>
      </c>
      <c r="I13" s="3">
        <v>272</v>
      </c>
      <c r="J13" s="3">
        <v>7.62</v>
      </c>
      <c r="K13" s="3">
        <v>2.4</v>
      </c>
      <c r="L13" s="3">
        <v>7.6</v>
      </c>
      <c r="M13" s="5">
        <f t="shared" si="1"/>
        <v>4.1764999999999999</v>
      </c>
      <c r="N13" s="6">
        <f t="shared" si="0"/>
        <v>18.933466666666668</v>
      </c>
      <c r="O13" s="8">
        <v>30</v>
      </c>
      <c r="P13" s="8">
        <v>133</v>
      </c>
      <c r="Q13" s="3">
        <v>12</v>
      </c>
      <c r="R13" s="3">
        <v>1</v>
      </c>
      <c r="S13" s="3">
        <v>1</v>
      </c>
      <c r="T13" s="3"/>
      <c r="U13" s="3"/>
    </row>
    <row r="14" spans="1:21" x14ac:dyDescent="0.25">
      <c r="A14" s="3">
        <v>12</v>
      </c>
      <c r="B14" t="s">
        <v>13</v>
      </c>
      <c r="C14" t="s">
        <v>30</v>
      </c>
      <c r="D14" s="1">
        <v>74.8</v>
      </c>
      <c r="E14" s="4">
        <v>45062</v>
      </c>
      <c r="F14" s="3">
        <v>500</v>
      </c>
      <c r="G14" s="3">
        <v>597</v>
      </c>
      <c r="H14" s="3">
        <v>300</v>
      </c>
      <c r="I14" s="3">
        <v>200</v>
      </c>
      <c r="J14" s="3">
        <v>10.16</v>
      </c>
      <c r="K14" s="3">
        <v>2.4</v>
      </c>
      <c r="L14" s="3">
        <v>15.833</v>
      </c>
      <c r="M14" s="5">
        <f t="shared" si="1"/>
        <v>2.5059</v>
      </c>
      <c r="N14" s="6">
        <f t="shared" si="0"/>
        <v>8.3529999999999998</v>
      </c>
      <c r="O14" s="8">
        <v>27</v>
      </c>
      <c r="P14" s="8">
        <v>119</v>
      </c>
      <c r="Q14" s="3">
        <v>8</v>
      </c>
      <c r="R14" s="3">
        <v>1</v>
      </c>
      <c r="S14" s="3">
        <v>1</v>
      </c>
      <c r="T14" s="3"/>
      <c r="U14" s="3"/>
    </row>
    <row r="15" spans="1:21" x14ac:dyDescent="0.25">
      <c r="A15" s="3">
        <v>13</v>
      </c>
      <c r="B15" t="s">
        <v>14</v>
      </c>
      <c r="C15" t="s">
        <v>31</v>
      </c>
      <c r="D15" s="1">
        <v>84.2</v>
      </c>
      <c r="E15" s="4">
        <v>44743</v>
      </c>
      <c r="F15" s="3">
        <v>500</v>
      </c>
      <c r="G15" s="3">
        <v>1024</v>
      </c>
      <c r="H15" s="3">
        <v>500</v>
      </c>
      <c r="I15" s="3">
        <v>404</v>
      </c>
      <c r="J15" s="3">
        <v>5.08</v>
      </c>
      <c r="K15" s="3">
        <v>2.4</v>
      </c>
      <c r="L15" s="3">
        <v>1.9</v>
      </c>
      <c r="M15" s="5">
        <f t="shared" si="1"/>
        <v>4.1764999999999999</v>
      </c>
      <c r="N15" s="6">
        <f t="shared" si="0"/>
        <v>28.121766666666666</v>
      </c>
      <c r="O15" s="8">
        <v>23</v>
      </c>
      <c r="P15" s="8">
        <v>128</v>
      </c>
      <c r="Q15" s="3">
        <v>2</v>
      </c>
      <c r="R15" s="3">
        <v>1</v>
      </c>
      <c r="S15" s="3">
        <v>1</v>
      </c>
      <c r="T15" s="3"/>
      <c r="U15" s="3"/>
    </row>
    <row r="16" spans="1:21" x14ac:dyDescent="0.25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6:21" x14ac:dyDescent="0.25"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6:21" x14ac:dyDescent="0.25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6:21" x14ac:dyDescent="0.2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6:21" x14ac:dyDescent="0.25">
      <c r="K20" s="3"/>
      <c r="L20" s="3"/>
      <c r="M20" s="3"/>
      <c r="N20" s="3"/>
      <c r="O20" s="3"/>
      <c r="P20" s="3"/>
    </row>
    <row r="21" spans="6:21" x14ac:dyDescent="0.25">
      <c r="F21" s="3"/>
      <c r="H21" s="3"/>
      <c r="I21" s="3"/>
      <c r="J21" s="3"/>
      <c r="K21" s="3"/>
      <c r="L21" s="3"/>
      <c r="M21" s="3"/>
      <c r="N21" s="3"/>
      <c r="O21" s="3"/>
      <c r="P21" s="3"/>
    </row>
    <row r="22" spans="6:21" x14ac:dyDescent="0.2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6:21" x14ac:dyDescent="0.25">
      <c r="K23" s="3"/>
      <c r="L23" s="3"/>
      <c r="M23" s="3"/>
      <c r="N23" s="3"/>
      <c r="O23" s="3"/>
      <c r="P23" s="3"/>
    </row>
    <row r="24" spans="6:21" x14ac:dyDescent="0.25">
      <c r="K24" s="3"/>
      <c r="L24" s="3"/>
      <c r="M24" s="3"/>
      <c r="N24" s="3"/>
      <c r="O24" s="3"/>
      <c r="P24" s="3"/>
    </row>
    <row r="25" spans="6:21" x14ac:dyDescent="0.25">
      <c r="K25" s="3"/>
      <c r="L25" s="3"/>
      <c r="M25" s="3"/>
      <c r="N25" s="3"/>
      <c r="O25" s="3"/>
      <c r="P25" s="3"/>
    </row>
    <row r="26" spans="6:21" x14ac:dyDescent="0.25">
      <c r="K26" s="3"/>
      <c r="L26" s="3"/>
      <c r="M26" s="3"/>
      <c r="N26" s="3"/>
      <c r="O26" s="3"/>
      <c r="P26" s="3"/>
    </row>
    <row r="27" spans="6:21" x14ac:dyDescent="0.25">
      <c r="K27" s="3"/>
      <c r="L27" s="3"/>
      <c r="M27" s="3"/>
      <c r="N27" s="3"/>
      <c r="O27" s="3"/>
      <c r="P27" s="3"/>
    </row>
    <row r="28" spans="6:21" x14ac:dyDescent="0.25">
      <c r="K28" s="3"/>
      <c r="L28" s="3"/>
      <c r="M28" s="3"/>
      <c r="N28" s="3"/>
      <c r="O28" s="3"/>
      <c r="P28" s="3"/>
    </row>
    <row r="29" spans="6:21" x14ac:dyDescent="0.25">
      <c r="K29" s="3"/>
      <c r="L29" s="3"/>
      <c r="M29" s="3"/>
      <c r="N29" s="3"/>
      <c r="O29" s="3"/>
      <c r="P29" s="3"/>
    </row>
    <row r="30" spans="6:21" x14ac:dyDescent="0.25">
      <c r="K30" s="3"/>
      <c r="L30" s="3"/>
      <c r="M30" s="3"/>
      <c r="N30" s="3"/>
      <c r="O30" s="3"/>
      <c r="P30" s="3"/>
    </row>
    <row r="31" spans="6:21" x14ac:dyDescent="0.25">
      <c r="K31" s="3"/>
      <c r="L31" s="3"/>
      <c r="M31" s="3"/>
      <c r="N31" s="3"/>
      <c r="O31" s="3"/>
      <c r="P31" s="3"/>
    </row>
  </sheetData>
  <sortState xmlns:xlrd2="http://schemas.microsoft.com/office/spreadsheetml/2017/richdata2" ref="A2:S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B9F7-19F9-44BC-9EF8-EC8B07716C1C}">
  <dimension ref="A1:R20"/>
  <sheetViews>
    <sheetView workbookViewId="0">
      <selection activeCell="N19" sqref="N19"/>
    </sheetView>
  </sheetViews>
  <sheetFormatPr defaultRowHeight="15" x14ac:dyDescent="0.25"/>
  <cols>
    <col min="1" max="1" width="8.7109375" customWidth="1"/>
    <col min="2" max="2" width="9.140625" customWidth="1"/>
    <col min="3" max="3" width="19.140625" customWidth="1"/>
    <col min="4" max="4" width="7.140625" customWidth="1"/>
    <col min="5" max="7" width="5.7109375" customWidth="1"/>
    <col min="10" max="10" width="48.28515625" customWidth="1"/>
    <col min="17" max="17" width="9.85546875" customWidth="1"/>
  </cols>
  <sheetData>
    <row r="1" spans="1:18" x14ac:dyDescent="0.25">
      <c r="A1" s="9" t="s">
        <v>58</v>
      </c>
      <c r="B1" s="9" t="s">
        <v>57</v>
      </c>
      <c r="C1" s="10" t="s">
        <v>51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61</v>
      </c>
      <c r="I1" s="9" t="s">
        <v>62</v>
      </c>
      <c r="J1" s="9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59</v>
      </c>
      <c r="Q1" s="10" t="s">
        <v>60</v>
      </c>
      <c r="R1" s="10" t="s">
        <v>78</v>
      </c>
    </row>
    <row r="2" spans="1:18" x14ac:dyDescent="0.25">
      <c r="A2" s="3">
        <v>0</v>
      </c>
      <c r="B2" s="3">
        <v>7</v>
      </c>
      <c r="C2" t="s">
        <v>32</v>
      </c>
      <c r="D2" s="3" t="b">
        <v>1</v>
      </c>
      <c r="E2" s="3">
        <v>88</v>
      </c>
      <c r="F2" s="3">
        <v>27</v>
      </c>
      <c r="G2" s="3">
        <v>66</v>
      </c>
      <c r="H2" s="3">
        <v>246</v>
      </c>
      <c r="I2" s="3">
        <v>259</v>
      </c>
      <c r="J2" s="23" t="s">
        <v>65</v>
      </c>
      <c r="K2" s="17">
        <v>14.2</v>
      </c>
      <c r="L2" s="15">
        <v>14</v>
      </c>
      <c r="M2" s="15">
        <v>14</v>
      </c>
      <c r="N2" s="15">
        <v>21</v>
      </c>
      <c r="O2" s="15">
        <v>244</v>
      </c>
      <c r="Q2">
        <f>25*K2</f>
        <v>355</v>
      </c>
      <c r="R2" t="b">
        <v>0</v>
      </c>
    </row>
    <row r="3" spans="1:18" x14ac:dyDescent="0.25">
      <c r="A3" s="11">
        <v>0</v>
      </c>
      <c r="B3" s="11">
        <v>10</v>
      </c>
      <c r="C3" s="12" t="s">
        <v>32</v>
      </c>
      <c r="D3" s="11" t="b">
        <v>0</v>
      </c>
      <c r="E3" s="11">
        <v>126</v>
      </c>
      <c r="F3" s="11">
        <v>44</v>
      </c>
      <c r="G3" s="11">
        <v>61</v>
      </c>
      <c r="H3" s="11">
        <v>620</v>
      </c>
      <c r="I3" s="11">
        <v>670</v>
      </c>
      <c r="J3" s="12" t="s">
        <v>64</v>
      </c>
      <c r="K3" s="18">
        <v>15.5</v>
      </c>
      <c r="L3" s="16"/>
      <c r="M3" s="16"/>
      <c r="N3" s="16"/>
      <c r="O3" s="16"/>
      <c r="P3" s="12"/>
      <c r="Q3" s="12">
        <f t="shared" ref="Q3:Q17" si="0">25*K3</f>
        <v>387.5</v>
      </c>
      <c r="R3" t="b">
        <v>0</v>
      </c>
    </row>
    <row r="4" spans="1:18" x14ac:dyDescent="0.25">
      <c r="A4" s="3">
        <v>1</v>
      </c>
      <c r="B4" s="3">
        <v>10</v>
      </c>
      <c r="C4" t="s">
        <v>27</v>
      </c>
      <c r="D4" s="3" t="b">
        <v>1</v>
      </c>
      <c r="E4" s="3">
        <v>106</v>
      </c>
      <c r="F4" s="3">
        <v>35</v>
      </c>
      <c r="G4" s="3">
        <v>61</v>
      </c>
      <c r="H4" s="3">
        <v>27</v>
      </c>
      <c r="I4" s="3">
        <v>69</v>
      </c>
      <c r="J4" s="22" t="s">
        <v>66</v>
      </c>
      <c r="K4" s="17">
        <v>19.100000000000001</v>
      </c>
      <c r="L4" s="15">
        <v>16</v>
      </c>
      <c r="M4" s="15">
        <v>10</v>
      </c>
      <c r="N4" s="15">
        <v>26</v>
      </c>
      <c r="O4" s="15">
        <v>33</v>
      </c>
      <c r="Q4">
        <f>25*K4</f>
        <v>477.50000000000006</v>
      </c>
      <c r="R4" t="b">
        <v>0</v>
      </c>
    </row>
    <row r="5" spans="1:18" x14ac:dyDescent="0.25">
      <c r="A5" s="3">
        <v>2</v>
      </c>
      <c r="B5" s="3">
        <v>6</v>
      </c>
      <c r="C5" t="s">
        <v>28</v>
      </c>
      <c r="D5" s="3" t="b">
        <v>1</v>
      </c>
      <c r="E5" s="13">
        <v>82</v>
      </c>
      <c r="F5" s="13">
        <v>33</v>
      </c>
      <c r="G5" s="13">
        <v>84</v>
      </c>
      <c r="H5" s="13">
        <v>9</v>
      </c>
      <c r="I5" s="13">
        <v>13</v>
      </c>
      <c r="J5" s="22" t="s">
        <v>67</v>
      </c>
      <c r="K5" s="17">
        <v>14.5</v>
      </c>
      <c r="L5" s="15">
        <v>18</v>
      </c>
      <c r="M5" s="15">
        <v>11</v>
      </c>
      <c r="N5" s="15">
        <v>23</v>
      </c>
      <c r="O5" s="15">
        <v>0</v>
      </c>
      <c r="Q5">
        <f t="shared" si="0"/>
        <v>362.5</v>
      </c>
      <c r="R5" t="b">
        <v>0</v>
      </c>
    </row>
    <row r="6" spans="1:18" x14ac:dyDescent="0.25">
      <c r="A6" s="3">
        <v>2</v>
      </c>
      <c r="B6" s="3">
        <v>9</v>
      </c>
      <c r="C6" t="s">
        <v>28</v>
      </c>
      <c r="D6" s="3" t="b">
        <v>1</v>
      </c>
      <c r="E6" s="13">
        <v>102</v>
      </c>
      <c r="F6" s="13">
        <v>39</v>
      </c>
      <c r="G6" s="13">
        <v>91</v>
      </c>
      <c r="H6" s="13">
        <v>125</v>
      </c>
      <c r="I6" s="13">
        <v>171</v>
      </c>
      <c r="J6" s="22" t="s">
        <v>68</v>
      </c>
      <c r="K6" s="17">
        <v>16.5</v>
      </c>
      <c r="L6" s="15">
        <v>17</v>
      </c>
      <c r="M6" s="15">
        <v>8</v>
      </c>
      <c r="N6" s="15">
        <v>17</v>
      </c>
      <c r="O6" s="15">
        <v>157</v>
      </c>
      <c r="Q6">
        <f t="shared" si="0"/>
        <v>412.5</v>
      </c>
      <c r="R6" t="b">
        <v>0</v>
      </c>
    </row>
    <row r="7" spans="1:18" x14ac:dyDescent="0.25">
      <c r="A7" s="11">
        <v>3</v>
      </c>
      <c r="B7" s="11">
        <v>4</v>
      </c>
      <c r="C7" s="12" t="s">
        <v>34</v>
      </c>
      <c r="D7" s="11" t="b">
        <v>0</v>
      </c>
      <c r="E7" s="14">
        <v>45</v>
      </c>
      <c r="F7" s="14">
        <v>12</v>
      </c>
      <c r="G7" s="14">
        <v>68</v>
      </c>
      <c r="H7" s="14">
        <v>103</v>
      </c>
      <c r="I7" s="14">
        <v>143</v>
      </c>
      <c r="J7" s="26" t="s">
        <v>69</v>
      </c>
      <c r="K7" s="20">
        <v>12</v>
      </c>
      <c r="L7" s="16">
        <v>19</v>
      </c>
      <c r="M7" s="16">
        <v>12</v>
      </c>
      <c r="N7" s="16">
        <v>21</v>
      </c>
      <c r="O7" s="16">
        <v>60</v>
      </c>
      <c r="P7" s="12"/>
      <c r="Q7" s="12">
        <f t="shared" si="0"/>
        <v>300</v>
      </c>
      <c r="R7" t="b">
        <v>0</v>
      </c>
    </row>
    <row r="8" spans="1:18" x14ac:dyDescent="0.25">
      <c r="A8" s="27">
        <v>4</v>
      </c>
      <c r="B8" s="27">
        <v>4</v>
      </c>
      <c r="C8" s="28" t="s">
        <v>29</v>
      </c>
      <c r="D8" s="27" t="b">
        <v>1</v>
      </c>
      <c r="E8" s="29">
        <v>40</v>
      </c>
      <c r="F8" s="29">
        <v>13</v>
      </c>
      <c r="G8" s="29">
        <v>96</v>
      </c>
      <c r="H8" s="29">
        <v>150</v>
      </c>
      <c r="I8" s="29">
        <v>159</v>
      </c>
      <c r="J8" s="30" t="s">
        <v>70</v>
      </c>
      <c r="K8" s="31">
        <v>15.5</v>
      </c>
      <c r="L8" s="32">
        <v>26</v>
      </c>
      <c r="M8" s="32">
        <v>20</v>
      </c>
      <c r="N8" s="32">
        <v>24</v>
      </c>
      <c r="O8" s="32">
        <v>92</v>
      </c>
      <c r="P8" s="28"/>
      <c r="Q8" s="28">
        <f t="shared" si="0"/>
        <v>387.5</v>
      </c>
      <c r="R8" t="b">
        <v>0</v>
      </c>
    </row>
    <row r="9" spans="1:18" x14ac:dyDescent="0.25">
      <c r="A9" s="3">
        <v>5</v>
      </c>
      <c r="B9" s="3">
        <v>0</v>
      </c>
      <c r="C9" t="s">
        <v>33</v>
      </c>
      <c r="D9" s="3" t="b">
        <v>1</v>
      </c>
      <c r="E9" s="13">
        <v>89</v>
      </c>
      <c r="F9" s="13">
        <v>16</v>
      </c>
      <c r="G9" s="13">
        <v>41</v>
      </c>
      <c r="H9" s="13">
        <v>17</v>
      </c>
      <c r="I9" s="13">
        <v>39</v>
      </c>
      <c r="J9" s="22" t="s">
        <v>70</v>
      </c>
      <c r="K9" s="19">
        <v>18</v>
      </c>
      <c r="L9" s="15">
        <v>17</v>
      </c>
      <c r="M9" s="15">
        <v>13</v>
      </c>
      <c r="N9" s="15">
        <v>8</v>
      </c>
      <c r="O9" s="15">
        <v>21</v>
      </c>
      <c r="Q9">
        <f t="shared" si="0"/>
        <v>450</v>
      </c>
      <c r="R9" t="b">
        <v>0</v>
      </c>
    </row>
    <row r="10" spans="1:18" x14ac:dyDescent="0.25">
      <c r="A10" s="11">
        <v>6</v>
      </c>
      <c r="B10" s="11">
        <v>0</v>
      </c>
      <c r="C10" s="12" t="s">
        <v>21</v>
      </c>
      <c r="D10" s="11" t="b">
        <v>0</v>
      </c>
      <c r="E10" s="14">
        <v>97</v>
      </c>
      <c r="F10" s="14">
        <v>30</v>
      </c>
      <c r="G10" s="14">
        <v>35</v>
      </c>
      <c r="H10" s="14">
        <v>147</v>
      </c>
      <c r="I10" s="14">
        <v>154</v>
      </c>
      <c r="J10" s="12" t="s">
        <v>71</v>
      </c>
      <c r="K10" s="18">
        <v>19</v>
      </c>
      <c r="L10" s="16"/>
      <c r="M10" s="16"/>
      <c r="N10" s="16"/>
      <c r="O10" s="16"/>
      <c r="P10" s="12"/>
      <c r="Q10" s="12">
        <f t="shared" si="0"/>
        <v>475</v>
      </c>
      <c r="R10" t="b">
        <v>0</v>
      </c>
    </row>
    <row r="11" spans="1:18" x14ac:dyDescent="0.25">
      <c r="A11" s="11">
        <v>7</v>
      </c>
      <c r="B11" s="11">
        <v>6</v>
      </c>
      <c r="C11" s="12" t="s">
        <v>22</v>
      </c>
      <c r="D11" s="11" t="b">
        <v>0</v>
      </c>
      <c r="E11" s="14">
        <v>96</v>
      </c>
      <c r="F11" s="14">
        <v>12</v>
      </c>
      <c r="G11" s="14">
        <v>81</v>
      </c>
      <c r="H11" s="14">
        <v>36</v>
      </c>
      <c r="I11" s="14">
        <v>64</v>
      </c>
      <c r="J11" s="25" t="s">
        <v>73</v>
      </c>
      <c r="K11" s="20">
        <v>20</v>
      </c>
      <c r="L11" s="16">
        <v>27</v>
      </c>
      <c r="M11" s="16">
        <v>15</v>
      </c>
      <c r="N11" s="16">
        <v>25</v>
      </c>
      <c r="O11" s="16">
        <v>44</v>
      </c>
      <c r="P11" s="12"/>
      <c r="Q11" s="12">
        <f t="shared" si="0"/>
        <v>500</v>
      </c>
      <c r="R11" t="b">
        <v>0</v>
      </c>
    </row>
    <row r="12" spans="1:18" x14ac:dyDescent="0.25">
      <c r="A12" s="11">
        <v>8</v>
      </c>
      <c r="B12" s="11">
        <v>9</v>
      </c>
      <c r="C12" s="12" t="s">
        <v>23</v>
      </c>
      <c r="D12" s="11" t="b">
        <v>0</v>
      </c>
      <c r="E12" s="14">
        <v>160</v>
      </c>
      <c r="F12" s="14">
        <v>16</v>
      </c>
      <c r="G12" s="14">
        <v>120</v>
      </c>
      <c r="H12" s="14">
        <v>333</v>
      </c>
      <c r="I12" s="14">
        <v>391</v>
      </c>
      <c r="J12" s="12" t="s">
        <v>74</v>
      </c>
      <c r="K12" s="20">
        <v>14.5</v>
      </c>
      <c r="L12" s="16"/>
      <c r="M12" s="16"/>
      <c r="N12" s="16"/>
      <c r="O12" s="16"/>
      <c r="P12" s="12"/>
      <c r="Q12" s="12">
        <f t="shared" si="0"/>
        <v>362.5</v>
      </c>
      <c r="R12" t="b">
        <v>0</v>
      </c>
    </row>
    <row r="13" spans="1:18" x14ac:dyDescent="0.25">
      <c r="A13" s="11">
        <v>9</v>
      </c>
      <c r="B13" s="11">
        <v>5</v>
      </c>
      <c r="C13" s="12" t="s">
        <v>24</v>
      </c>
      <c r="D13" s="11" t="b">
        <v>0</v>
      </c>
      <c r="E13" s="14">
        <v>49</v>
      </c>
      <c r="F13" s="14">
        <v>9</v>
      </c>
      <c r="G13" s="14">
        <v>56</v>
      </c>
      <c r="H13" s="14">
        <v>64</v>
      </c>
      <c r="I13" s="11">
        <v>137</v>
      </c>
      <c r="J13" s="24" t="s">
        <v>72</v>
      </c>
      <c r="K13" s="20">
        <v>16.5</v>
      </c>
      <c r="L13" s="16">
        <v>21</v>
      </c>
      <c r="M13" s="16">
        <v>18</v>
      </c>
      <c r="N13" s="16">
        <v>9</v>
      </c>
      <c r="O13" s="16">
        <v>72</v>
      </c>
      <c r="P13" s="12"/>
      <c r="Q13" s="12">
        <f t="shared" si="0"/>
        <v>412.5</v>
      </c>
      <c r="R13" t="b">
        <v>0</v>
      </c>
    </row>
    <row r="14" spans="1:18" x14ac:dyDescent="0.25">
      <c r="A14" s="11">
        <v>10</v>
      </c>
      <c r="B14" s="11">
        <v>7</v>
      </c>
      <c r="C14" s="12" t="s">
        <v>25</v>
      </c>
      <c r="D14" s="11" t="b">
        <v>0</v>
      </c>
      <c r="E14" s="14">
        <v>56</v>
      </c>
      <c r="F14" s="14">
        <v>17</v>
      </c>
      <c r="G14" s="14">
        <v>81</v>
      </c>
      <c r="H14" s="14">
        <v>0</v>
      </c>
      <c r="I14" s="11">
        <v>9</v>
      </c>
      <c r="J14" s="26" t="s">
        <v>75</v>
      </c>
      <c r="K14" s="18">
        <v>12</v>
      </c>
      <c r="L14" s="16">
        <v>21</v>
      </c>
      <c r="M14" s="16">
        <v>12</v>
      </c>
      <c r="N14" s="16">
        <v>18</v>
      </c>
      <c r="O14" s="16">
        <v>0</v>
      </c>
      <c r="P14" s="12"/>
      <c r="Q14" s="12">
        <f t="shared" si="0"/>
        <v>300</v>
      </c>
      <c r="R14" t="b">
        <v>0</v>
      </c>
    </row>
    <row r="15" spans="1:18" x14ac:dyDescent="0.25">
      <c r="A15" s="3">
        <v>11</v>
      </c>
      <c r="B15" s="3">
        <v>8</v>
      </c>
      <c r="C15" t="s">
        <v>26</v>
      </c>
      <c r="D15" s="3" t="b">
        <v>1</v>
      </c>
      <c r="E15" s="13">
        <v>75</v>
      </c>
      <c r="F15" s="13">
        <v>29</v>
      </c>
      <c r="G15" s="13">
        <v>37</v>
      </c>
      <c r="H15" s="13">
        <v>195</v>
      </c>
      <c r="I15" s="3">
        <v>217</v>
      </c>
      <c r="J15" s="23" t="s">
        <v>77</v>
      </c>
      <c r="K15" s="17">
        <v>18</v>
      </c>
      <c r="L15" s="15">
        <v>20</v>
      </c>
      <c r="M15" s="15">
        <v>10</v>
      </c>
      <c r="N15" s="15">
        <v>10</v>
      </c>
      <c r="O15" s="15">
        <v>190</v>
      </c>
      <c r="Q15">
        <f t="shared" si="0"/>
        <v>450</v>
      </c>
      <c r="R15" t="b">
        <v>0</v>
      </c>
    </row>
    <row r="16" spans="1:18" x14ac:dyDescent="0.25">
      <c r="A16" s="3">
        <v>12</v>
      </c>
      <c r="B16" s="3">
        <v>6</v>
      </c>
      <c r="C16" t="s">
        <v>30</v>
      </c>
      <c r="D16" s="3" t="b">
        <v>1</v>
      </c>
      <c r="E16" s="13">
        <v>90</v>
      </c>
      <c r="F16" s="13">
        <v>13</v>
      </c>
      <c r="G16" s="13">
        <v>73</v>
      </c>
      <c r="H16" s="13">
        <v>70</v>
      </c>
      <c r="I16" s="3">
        <v>107</v>
      </c>
      <c r="J16" s="22" t="s">
        <v>76</v>
      </c>
      <c r="K16" s="17">
        <v>21</v>
      </c>
      <c r="L16" s="15">
        <v>15</v>
      </c>
      <c r="M16" s="15">
        <v>9</v>
      </c>
      <c r="N16" s="15">
        <v>16</v>
      </c>
      <c r="O16" s="15">
        <v>71</v>
      </c>
      <c r="Q16">
        <f t="shared" si="0"/>
        <v>525</v>
      </c>
      <c r="R16" t="b">
        <v>0</v>
      </c>
    </row>
    <row r="17" spans="1:18" x14ac:dyDescent="0.25">
      <c r="A17" s="3">
        <v>13</v>
      </c>
      <c r="B17" s="3">
        <v>2</v>
      </c>
      <c r="C17" t="s">
        <v>31</v>
      </c>
      <c r="D17" s="3" t="b">
        <v>1</v>
      </c>
      <c r="E17" s="13">
        <v>19</v>
      </c>
      <c r="F17" s="13">
        <v>12</v>
      </c>
      <c r="G17" s="13">
        <v>60</v>
      </c>
      <c r="H17" s="13">
        <v>158</v>
      </c>
      <c r="I17" s="3">
        <v>204</v>
      </c>
      <c r="J17" s="21" t="s">
        <v>63</v>
      </c>
      <c r="K17" s="17">
        <v>15</v>
      </c>
      <c r="L17" s="15">
        <v>23</v>
      </c>
      <c r="M17" s="15">
        <v>15</v>
      </c>
      <c r="N17" s="15">
        <v>23</v>
      </c>
      <c r="O17" s="15">
        <v>146</v>
      </c>
      <c r="Q17">
        <f t="shared" si="0"/>
        <v>375</v>
      </c>
      <c r="R17" t="b">
        <v>0</v>
      </c>
    </row>
    <row r="18" spans="1:18" x14ac:dyDescent="0.25">
      <c r="D18" s="3"/>
    </row>
    <row r="19" spans="1:18" x14ac:dyDescent="0.25">
      <c r="E19" s="3"/>
      <c r="F19" s="3"/>
      <c r="G19" s="3"/>
    </row>
    <row r="20" spans="1:18" x14ac:dyDescent="0.25">
      <c r="E20" s="3"/>
      <c r="F20" s="3"/>
      <c r="G20" s="3"/>
    </row>
  </sheetData>
  <sortState xmlns:xlrd2="http://schemas.microsoft.com/office/spreadsheetml/2017/richdata2" ref="C24:D39">
    <sortCondition ref="C24:C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573C-C8C8-4F1B-9846-B4FBCC86C5A2}">
  <dimension ref="A1:Q20"/>
  <sheetViews>
    <sheetView tabSelected="1" workbookViewId="0">
      <selection activeCell="I16" sqref="I16"/>
    </sheetView>
  </sheetViews>
  <sheetFormatPr defaultRowHeight="15" x14ac:dyDescent="0.25"/>
  <cols>
    <col min="1" max="1" width="8.7109375" customWidth="1"/>
    <col min="2" max="2" width="9.140625" customWidth="1"/>
    <col min="3" max="3" width="19.140625" customWidth="1"/>
    <col min="4" max="4" width="7.140625" customWidth="1"/>
    <col min="5" max="7" width="5.7109375" customWidth="1"/>
    <col min="10" max="10" width="48.28515625" customWidth="1"/>
    <col min="17" max="17" width="9.85546875" customWidth="1"/>
  </cols>
  <sheetData>
    <row r="1" spans="1:17" x14ac:dyDescent="0.25">
      <c r="A1" s="9" t="s">
        <v>58</v>
      </c>
      <c r="B1" s="9" t="s">
        <v>57</v>
      </c>
      <c r="C1" s="10" t="s">
        <v>51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61</v>
      </c>
      <c r="I1" s="9" t="s">
        <v>62</v>
      </c>
      <c r="J1" s="9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59</v>
      </c>
      <c r="Q1" s="10" t="s">
        <v>60</v>
      </c>
    </row>
    <row r="2" spans="1:17" x14ac:dyDescent="0.25">
      <c r="A2" s="3">
        <v>11</v>
      </c>
      <c r="B2" s="3">
        <v>8</v>
      </c>
      <c r="C2" t="s">
        <v>26</v>
      </c>
      <c r="D2" s="3" t="b">
        <v>1</v>
      </c>
      <c r="E2" s="13">
        <v>75</v>
      </c>
      <c r="F2" s="13">
        <v>29</v>
      </c>
      <c r="G2" s="13">
        <v>37</v>
      </c>
      <c r="H2" s="13">
        <v>195</v>
      </c>
      <c r="I2" s="3">
        <v>217</v>
      </c>
      <c r="J2" s="23" t="s">
        <v>77</v>
      </c>
      <c r="K2" s="17">
        <v>18</v>
      </c>
      <c r="L2" s="15">
        <v>20</v>
      </c>
      <c r="M2" s="15">
        <v>10</v>
      </c>
      <c r="N2" s="15">
        <v>10</v>
      </c>
      <c r="O2" s="15">
        <v>190</v>
      </c>
      <c r="Q2">
        <f t="shared" ref="Q2:Q10" si="0">25*K2</f>
        <v>450</v>
      </c>
    </row>
    <row r="3" spans="1:17" x14ac:dyDescent="0.25">
      <c r="A3" s="3">
        <v>1</v>
      </c>
      <c r="B3" s="3">
        <v>10</v>
      </c>
      <c r="C3" t="s">
        <v>27</v>
      </c>
      <c r="D3" s="3" t="b">
        <v>1</v>
      </c>
      <c r="E3" s="3">
        <v>106</v>
      </c>
      <c r="F3" s="3">
        <v>35</v>
      </c>
      <c r="G3" s="3">
        <v>61</v>
      </c>
      <c r="H3" s="3">
        <v>27</v>
      </c>
      <c r="I3" s="3">
        <v>69</v>
      </c>
      <c r="J3" s="22" t="s">
        <v>66</v>
      </c>
      <c r="K3" s="17">
        <v>19.100000000000001</v>
      </c>
      <c r="L3" s="15">
        <v>16</v>
      </c>
      <c r="M3" s="15">
        <v>10</v>
      </c>
      <c r="N3" s="15">
        <v>26</v>
      </c>
      <c r="O3" s="15">
        <v>33</v>
      </c>
      <c r="Q3">
        <f t="shared" si="0"/>
        <v>477.50000000000006</v>
      </c>
    </row>
    <row r="4" spans="1:17" x14ac:dyDescent="0.25">
      <c r="A4" s="33">
        <v>2</v>
      </c>
      <c r="B4" s="33">
        <v>6</v>
      </c>
      <c r="C4" s="34" t="s">
        <v>28</v>
      </c>
      <c r="D4" s="33" t="b">
        <v>1</v>
      </c>
      <c r="E4" s="35">
        <v>82</v>
      </c>
      <c r="F4" s="35">
        <v>33</v>
      </c>
      <c r="G4" s="35">
        <v>84</v>
      </c>
      <c r="H4" s="35">
        <v>9</v>
      </c>
      <c r="I4" s="35">
        <v>13</v>
      </c>
      <c r="J4" s="36" t="s">
        <v>67</v>
      </c>
      <c r="K4" s="37">
        <v>14.5</v>
      </c>
      <c r="L4" s="38">
        <v>18</v>
      </c>
      <c r="M4" s="38">
        <v>11</v>
      </c>
      <c r="N4" s="38">
        <v>23</v>
      </c>
      <c r="O4" s="38">
        <v>0</v>
      </c>
      <c r="P4" s="34"/>
      <c r="Q4" s="34">
        <f t="shared" si="0"/>
        <v>362.5</v>
      </c>
    </row>
    <row r="5" spans="1:17" x14ac:dyDescent="0.25">
      <c r="A5" s="3">
        <v>2</v>
      </c>
      <c r="B5" s="3">
        <v>9</v>
      </c>
      <c r="C5" t="s">
        <v>28</v>
      </c>
      <c r="D5" s="3" t="b">
        <v>1</v>
      </c>
      <c r="E5" s="13">
        <v>102</v>
      </c>
      <c r="F5" s="13">
        <v>39</v>
      </c>
      <c r="G5" s="13">
        <v>91</v>
      </c>
      <c r="H5" s="13">
        <v>125</v>
      </c>
      <c r="I5" s="13">
        <v>171</v>
      </c>
      <c r="J5" s="22" t="s">
        <v>68</v>
      </c>
      <c r="K5" s="17">
        <v>16.5</v>
      </c>
      <c r="L5" s="15">
        <v>17</v>
      </c>
      <c r="M5" s="15">
        <v>8</v>
      </c>
      <c r="N5" s="15">
        <v>17</v>
      </c>
      <c r="O5" s="15">
        <v>157</v>
      </c>
      <c r="Q5">
        <f t="shared" si="0"/>
        <v>412.5</v>
      </c>
    </row>
    <row r="6" spans="1:17" x14ac:dyDescent="0.25">
      <c r="A6" s="3">
        <v>12</v>
      </c>
      <c r="B6" s="3">
        <v>6</v>
      </c>
      <c r="C6" t="s">
        <v>30</v>
      </c>
      <c r="D6" s="3" t="b">
        <v>1</v>
      </c>
      <c r="E6" s="13">
        <v>90</v>
      </c>
      <c r="F6" s="13">
        <v>13</v>
      </c>
      <c r="G6" s="13">
        <v>73</v>
      </c>
      <c r="H6" s="13">
        <v>70</v>
      </c>
      <c r="I6" s="3">
        <v>107</v>
      </c>
      <c r="J6" s="22" t="s">
        <v>76</v>
      </c>
      <c r="K6" s="17">
        <v>21</v>
      </c>
      <c r="L6" s="15">
        <v>15</v>
      </c>
      <c r="M6" s="15">
        <v>9</v>
      </c>
      <c r="N6" s="15">
        <v>16</v>
      </c>
      <c r="O6" s="15">
        <v>71</v>
      </c>
      <c r="Q6">
        <f t="shared" si="0"/>
        <v>525</v>
      </c>
    </row>
    <row r="7" spans="1:17" x14ac:dyDescent="0.25">
      <c r="A7" s="27">
        <v>4</v>
      </c>
      <c r="B7" s="27">
        <v>4</v>
      </c>
      <c r="C7" s="28" t="s">
        <v>29</v>
      </c>
      <c r="D7" s="27" t="b">
        <v>1</v>
      </c>
      <c r="E7" s="29">
        <v>40</v>
      </c>
      <c r="F7" s="29">
        <v>13</v>
      </c>
      <c r="G7" s="29">
        <v>96</v>
      </c>
      <c r="H7" s="29">
        <v>150</v>
      </c>
      <c r="I7" s="29">
        <v>159</v>
      </c>
      <c r="J7" s="30" t="s">
        <v>79</v>
      </c>
      <c r="K7" s="31">
        <v>15.5</v>
      </c>
      <c r="L7" s="32">
        <v>26</v>
      </c>
      <c r="M7" s="32">
        <v>20</v>
      </c>
      <c r="N7" s="32">
        <v>24</v>
      </c>
      <c r="O7" s="32">
        <v>92</v>
      </c>
      <c r="P7" s="28"/>
      <c r="Q7" s="28">
        <f>25*K7</f>
        <v>387.5</v>
      </c>
    </row>
    <row r="8" spans="1:17" x14ac:dyDescent="0.25">
      <c r="A8" s="3">
        <v>13</v>
      </c>
      <c r="B8" s="3">
        <v>2</v>
      </c>
      <c r="C8" t="s">
        <v>31</v>
      </c>
      <c r="D8" s="3" t="b">
        <v>1</v>
      </c>
      <c r="E8" s="13">
        <v>19</v>
      </c>
      <c r="F8" s="13">
        <v>12</v>
      </c>
      <c r="G8" s="13">
        <v>60</v>
      </c>
      <c r="H8" s="13">
        <v>158</v>
      </c>
      <c r="I8" s="3">
        <v>204</v>
      </c>
      <c r="J8" s="21" t="s">
        <v>63</v>
      </c>
      <c r="K8" s="17">
        <v>15</v>
      </c>
      <c r="L8" s="15">
        <v>23</v>
      </c>
      <c r="M8" s="15">
        <v>15</v>
      </c>
      <c r="N8" s="15">
        <v>23</v>
      </c>
      <c r="O8" s="15">
        <v>146</v>
      </c>
      <c r="Q8">
        <f t="shared" si="0"/>
        <v>375</v>
      </c>
    </row>
    <row r="9" spans="1:17" x14ac:dyDescent="0.25">
      <c r="A9" s="3">
        <v>0</v>
      </c>
      <c r="B9" s="3">
        <v>7</v>
      </c>
      <c r="C9" t="s">
        <v>32</v>
      </c>
      <c r="D9" s="3" t="b">
        <v>1</v>
      </c>
      <c r="E9" s="3">
        <v>88</v>
      </c>
      <c r="F9" s="3">
        <v>27</v>
      </c>
      <c r="G9" s="3">
        <v>66</v>
      </c>
      <c r="H9" s="3">
        <v>246</v>
      </c>
      <c r="I9" s="3">
        <v>259</v>
      </c>
      <c r="J9" s="23" t="s">
        <v>65</v>
      </c>
      <c r="K9" s="17">
        <v>14.2</v>
      </c>
      <c r="L9" s="15">
        <v>14</v>
      </c>
      <c r="M9" s="15">
        <v>14</v>
      </c>
      <c r="N9" s="15">
        <v>21</v>
      </c>
      <c r="O9" s="15">
        <v>244</v>
      </c>
      <c r="Q9">
        <f t="shared" si="0"/>
        <v>355</v>
      </c>
    </row>
    <row r="10" spans="1:17" x14ac:dyDescent="0.25">
      <c r="A10" s="33">
        <v>5</v>
      </c>
      <c r="B10" s="33">
        <v>0</v>
      </c>
      <c r="C10" s="34" t="s">
        <v>33</v>
      </c>
      <c r="D10" s="33" t="b">
        <v>1</v>
      </c>
      <c r="E10" s="35">
        <v>89</v>
      </c>
      <c r="F10" s="35">
        <v>16</v>
      </c>
      <c r="G10" s="35">
        <v>41</v>
      </c>
      <c r="H10" s="35">
        <v>17</v>
      </c>
      <c r="I10" s="35">
        <v>39</v>
      </c>
      <c r="J10" s="36" t="s">
        <v>70</v>
      </c>
      <c r="K10" s="39">
        <v>18</v>
      </c>
      <c r="L10" s="38">
        <v>17</v>
      </c>
      <c r="M10" s="38">
        <v>13</v>
      </c>
      <c r="N10" s="38">
        <v>8</v>
      </c>
      <c r="O10" s="38">
        <v>21</v>
      </c>
      <c r="P10" s="34"/>
      <c r="Q10" s="34">
        <f t="shared" si="0"/>
        <v>450</v>
      </c>
    </row>
    <row r="11" spans="1:17" x14ac:dyDescent="0.25">
      <c r="E11" s="3"/>
      <c r="F11" s="3"/>
      <c r="G11" s="3"/>
    </row>
    <row r="12" spans="1:17" x14ac:dyDescent="0.25">
      <c r="E12" s="3"/>
      <c r="F12" s="3"/>
      <c r="G12" s="3"/>
      <c r="M12" s="10"/>
      <c r="N12" s="10"/>
      <c r="O12" s="10"/>
    </row>
    <row r="13" spans="1:17" x14ac:dyDescent="0.25">
      <c r="M13" s="15"/>
      <c r="N13" s="15"/>
      <c r="O13" s="15"/>
    </row>
    <row r="14" spans="1:17" x14ac:dyDescent="0.25">
      <c r="M14" s="15"/>
      <c r="N14" s="15"/>
      <c r="O14" s="15"/>
    </row>
    <row r="15" spans="1:17" x14ac:dyDescent="0.25">
      <c r="M15" s="15"/>
      <c r="N15" s="15"/>
      <c r="O15" s="15"/>
    </row>
    <row r="16" spans="1:17" x14ac:dyDescent="0.25">
      <c r="M16" s="15"/>
      <c r="N16" s="15"/>
      <c r="O16" s="15"/>
    </row>
    <row r="17" spans="13:15" x14ac:dyDescent="0.25">
      <c r="M17" s="15"/>
      <c r="N17" s="15"/>
      <c r="O17" s="15"/>
    </row>
    <row r="18" spans="13:15" x14ac:dyDescent="0.25">
      <c r="M18" s="15"/>
      <c r="N18" s="15"/>
      <c r="O18" s="15"/>
    </row>
    <row r="19" spans="13:15" x14ac:dyDescent="0.25">
      <c r="M19" s="15"/>
      <c r="N19" s="15"/>
      <c r="O19" s="15"/>
    </row>
    <row r="20" spans="13:15" x14ac:dyDescent="0.25">
      <c r="M20" s="15"/>
      <c r="N20" s="15"/>
      <c r="O20" s="15"/>
    </row>
  </sheetData>
  <sortState xmlns:xlrd2="http://schemas.microsoft.com/office/spreadsheetml/2017/richdata2" ref="A2:Q10">
    <sortCondition ref="C2:C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7DF5-0B74-4CBA-9370-F540CE3AB48B}">
  <dimension ref="A1:Q11"/>
  <sheetViews>
    <sheetView workbookViewId="0">
      <selection activeCell="J16" sqref="J16"/>
    </sheetView>
  </sheetViews>
  <sheetFormatPr defaultRowHeight="15" x14ac:dyDescent="0.25"/>
  <cols>
    <col min="1" max="1" width="8.7109375" customWidth="1"/>
    <col min="2" max="2" width="9.140625" customWidth="1"/>
    <col min="3" max="3" width="19.140625" customWidth="1"/>
    <col min="4" max="4" width="7.140625" customWidth="1"/>
    <col min="5" max="7" width="5.7109375" customWidth="1"/>
    <col min="10" max="10" width="48.28515625" customWidth="1"/>
    <col min="17" max="17" width="9.85546875" customWidth="1"/>
  </cols>
  <sheetData>
    <row r="1" spans="1:17" x14ac:dyDescent="0.25">
      <c r="A1" s="9" t="s">
        <v>58</v>
      </c>
      <c r="B1" s="9" t="s">
        <v>57</v>
      </c>
      <c r="C1" s="10" t="s">
        <v>51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61</v>
      </c>
      <c r="I1" s="9" t="s">
        <v>62</v>
      </c>
      <c r="J1" s="9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59</v>
      </c>
      <c r="Q1" s="10" t="s">
        <v>60</v>
      </c>
    </row>
    <row r="2" spans="1:17" x14ac:dyDescent="0.25">
      <c r="A2" s="11">
        <v>0</v>
      </c>
      <c r="B2" s="11">
        <v>10</v>
      </c>
      <c r="C2" s="12" t="s">
        <v>32</v>
      </c>
      <c r="D2" s="11" t="b">
        <v>0</v>
      </c>
      <c r="E2" s="11">
        <v>126</v>
      </c>
      <c r="F2" s="11">
        <v>44</v>
      </c>
      <c r="G2" s="11">
        <v>61</v>
      </c>
      <c r="H2" s="11">
        <v>620</v>
      </c>
      <c r="I2" s="11">
        <v>670</v>
      </c>
      <c r="J2" s="12" t="s">
        <v>64</v>
      </c>
      <c r="K2" s="18">
        <v>15.5</v>
      </c>
      <c r="L2" s="16"/>
      <c r="M2" s="16"/>
      <c r="N2" s="16"/>
      <c r="O2" s="16"/>
      <c r="P2" s="12"/>
      <c r="Q2" s="12">
        <f>25*K2</f>
        <v>387.5</v>
      </c>
    </row>
    <row r="3" spans="1:17" x14ac:dyDescent="0.25">
      <c r="A3" s="11">
        <v>3</v>
      </c>
      <c r="B3" s="11">
        <v>4</v>
      </c>
      <c r="C3" s="12" t="s">
        <v>34</v>
      </c>
      <c r="D3" s="11" t="b">
        <v>0</v>
      </c>
      <c r="E3" s="14">
        <v>45</v>
      </c>
      <c r="F3" s="14">
        <v>12</v>
      </c>
      <c r="G3" s="14">
        <v>68</v>
      </c>
      <c r="H3" s="14">
        <v>103</v>
      </c>
      <c r="I3" s="14">
        <v>143</v>
      </c>
      <c r="J3" s="26" t="s">
        <v>69</v>
      </c>
      <c r="K3" s="20">
        <v>12</v>
      </c>
      <c r="L3" s="16">
        <v>19</v>
      </c>
      <c r="M3" s="16">
        <v>12</v>
      </c>
      <c r="N3" s="16">
        <v>21</v>
      </c>
      <c r="O3" s="16">
        <v>60</v>
      </c>
      <c r="P3" s="12"/>
      <c r="Q3" s="12">
        <f>25*K3</f>
        <v>300</v>
      </c>
    </row>
    <row r="4" spans="1:17" x14ac:dyDescent="0.25">
      <c r="A4" s="11">
        <v>6</v>
      </c>
      <c r="B4" s="11">
        <v>0</v>
      </c>
      <c r="C4" s="12" t="s">
        <v>21</v>
      </c>
      <c r="D4" s="11" t="b">
        <v>0</v>
      </c>
      <c r="E4" s="14">
        <v>97</v>
      </c>
      <c r="F4" s="14">
        <v>30</v>
      </c>
      <c r="G4" s="14">
        <v>35</v>
      </c>
      <c r="H4" s="14">
        <v>147</v>
      </c>
      <c r="I4" s="14">
        <v>154</v>
      </c>
      <c r="J4" s="12" t="s">
        <v>71</v>
      </c>
      <c r="K4" s="18">
        <v>19</v>
      </c>
      <c r="L4" s="16"/>
      <c r="M4" s="16"/>
      <c r="N4" s="16"/>
      <c r="O4" s="16"/>
      <c r="P4" s="12"/>
      <c r="Q4" s="12">
        <f>25*K4</f>
        <v>475</v>
      </c>
    </row>
    <row r="5" spans="1:17" x14ac:dyDescent="0.25">
      <c r="A5" s="11">
        <v>7</v>
      </c>
      <c r="B5" s="11">
        <v>6</v>
      </c>
      <c r="C5" s="12" t="s">
        <v>22</v>
      </c>
      <c r="D5" s="11" t="b">
        <v>0</v>
      </c>
      <c r="E5" s="14">
        <v>96</v>
      </c>
      <c r="F5" s="14">
        <v>12</v>
      </c>
      <c r="G5" s="14">
        <v>81</v>
      </c>
      <c r="H5" s="14">
        <v>36</v>
      </c>
      <c r="I5" s="14">
        <v>64</v>
      </c>
      <c r="J5" s="25" t="s">
        <v>73</v>
      </c>
      <c r="K5" s="20">
        <v>20</v>
      </c>
      <c r="L5" s="16">
        <v>27</v>
      </c>
      <c r="M5" s="16">
        <v>15</v>
      </c>
      <c r="N5" s="16">
        <v>25</v>
      </c>
      <c r="O5" s="16">
        <v>44</v>
      </c>
      <c r="P5" s="12"/>
      <c r="Q5" s="12">
        <f>25*K5</f>
        <v>500</v>
      </c>
    </row>
    <row r="6" spans="1:17" x14ac:dyDescent="0.25">
      <c r="A6" s="11">
        <v>8</v>
      </c>
      <c r="B6" s="11">
        <v>9</v>
      </c>
      <c r="C6" s="12" t="s">
        <v>23</v>
      </c>
      <c r="D6" s="11" t="b">
        <v>0</v>
      </c>
      <c r="E6" s="14">
        <v>160</v>
      </c>
      <c r="F6" s="14">
        <v>16</v>
      </c>
      <c r="G6" s="14">
        <v>120</v>
      </c>
      <c r="H6" s="14">
        <v>333</v>
      </c>
      <c r="I6" s="14">
        <v>391</v>
      </c>
      <c r="J6" s="12" t="s">
        <v>74</v>
      </c>
      <c r="K6" s="20">
        <v>14.5</v>
      </c>
      <c r="L6" s="16"/>
      <c r="M6" s="16"/>
      <c r="N6" s="16"/>
      <c r="O6" s="16"/>
      <c r="P6" s="12"/>
      <c r="Q6" s="12">
        <f>25*K6</f>
        <v>362.5</v>
      </c>
    </row>
    <row r="7" spans="1:17" x14ac:dyDescent="0.25">
      <c r="A7" s="11">
        <v>9</v>
      </c>
      <c r="B7" s="11">
        <v>5</v>
      </c>
      <c r="C7" s="12" t="s">
        <v>24</v>
      </c>
      <c r="D7" s="11" t="b">
        <v>0</v>
      </c>
      <c r="E7" s="14">
        <v>49</v>
      </c>
      <c r="F7" s="14">
        <v>9</v>
      </c>
      <c r="G7" s="14">
        <v>56</v>
      </c>
      <c r="H7" s="14">
        <v>64</v>
      </c>
      <c r="I7" s="11">
        <v>137</v>
      </c>
      <c r="J7" s="24" t="s">
        <v>72</v>
      </c>
      <c r="K7" s="20">
        <v>16.5</v>
      </c>
      <c r="L7" s="16">
        <v>21</v>
      </c>
      <c r="M7" s="16">
        <v>18</v>
      </c>
      <c r="N7" s="16">
        <v>9</v>
      </c>
      <c r="O7" s="16">
        <v>72</v>
      </c>
      <c r="P7" s="12"/>
      <c r="Q7" s="12">
        <f>25*K7</f>
        <v>412.5</v>
      </c>
    </row>
    <row r="8" spans="1:17" x14ac:dyDescent="0.25">
      <c r="A8" s="11">
        <v>10</v>
      </c>
      <c r="B8" s="11">
        <v>7</v>
      </c>
      <c r="C8" s="12" t="s">
        <v>25</v>
      </c>
      <c r="D8" s="11" t="b">
        <v>0</v>
      </c>
      <c r="E8" s="14">
        <v>56</v>
      </c>
      <c r="F8" s="14">
        <v>17</v>
      </c>
      <c r="G8" s="14">
        <v>81</v>
      </c>
      <c r="H8" s="14">
        <v>0</v>
      </c>
      <c r="I8" s="11">
        <v>9</v>
      </c>
      <c r="J8" s="26" t="s">
        <v>75</v>
      </c>
      <c r="K8" s="18">
        <v>12</v>
      </c>
      <c r="L8" s="16">
        <v>21</v>
      </c>
      <c r="M8" s="16">
        <v>12</v>
      </c>
      <c r="N8" s="16">
        <v>18</v>
      </c>
      <c r="O8" s="16">
        <v>0</v>
      </c>
      <c r="P8" s="12"/>
      <c r="Q8" s="12">
        <f>25*K8</f>
        <v>300</v>
      </c>
    </row>
    <row r="9" spans="1:17" x14ac:dyDescent="0.25">
      <c r="D9" s="3"/>
    </row>
    <row r="10" spans="1:17" x14ac:dyDescent="0.25">
      <c r="E10" s="3"/>
      <c r="F10" s="3"/>
      <c r="G10" s="3"/>
    </row>
    <row r="11" spans="1:17" x14ac:dyDescent="0.25"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Follicles</vt:lpstr>
      <vt:lpstr>Follicles (Use)</vt:lpstr>
      <vt:lpstr>Follicles (Exclude)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Faubert</dc:creator>
  <cp:lastModifiedBy>Andre Faubert</cp:lastModifiedBy>
  <dcterms:created xsi:type="dcterms:W3CDTF">2026-03-31T21:03:27Z</dcterms:created>
  <dcterms:modified xsi:type="dcterms:W3CDTF">2026-05-05T05:41:57Z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2026-03-31T21:24:38Z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e5f3c4fa-b1b7-4b2d-8d71-87273321969f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